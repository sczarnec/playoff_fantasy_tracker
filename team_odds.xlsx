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5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7fc8b8e303d5f8/Documents/playoff_fantasy_tracker/"/>
    </mc:Choice>
  </mc:AlternateContent>
  <xr:revisionPtr revIDLastSave="0" documentId="10_ncr:8_{20EB3671-E2A1-498E-9D00-404C03E1002C}" xr6:coauthVersionLast="47" xr6:coauthVersionMax="47" xr10:uidLastSave="{00000000-0000-0000-0000-000000000000}"/>
  <bookViews>
    <workbookView xWindow="-93" yWindow="-93" windowWidth="20186" windowHeight="12800" xr2:uid="{7EBD4AEA-14AB-4813-8AE8-A713FC4DFCCB}"/>
  </bookViews>
  <sheets>
    <sheet name="Book2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D12" i="1"/>
  <c r="D11" i="1"/>
  <c r="D10" i="1"/>
  <c r="K6" i="1"/>
  <c r="D6" i="1" s="1"/>
  <c r="H5" i="1"/>
  <c r="I5" i="1"/>
  <c r="J5" i="1"/>
  <c r="H4" i="1"/>
  <c r="I4" i="1"/>
  <c r="I6" i="1"/>
  <c r="D5" i="1"/>
  <c r="H14" i="1"/>
  <c r="H15" i="1"/>
  <c r="H13" i="1"/>
  <c r="H12" i="1"/>
  <c r="H11" i="1"/>
  <c r="H10" i="1"/>
  <c r="H9" i="1"/>
  <c r="H8" i="1"/>
  <c r="H7" i="1"/>
  <c r="H6" i="1"/>
  <c r="H3" i="1"/>
  <c r="D4" i="1"/>
  <c r="D3" i="1"/>
  <c r="I15" i="1"/>
  <c r="J15" i="1"/>
  <c r="K15" i="1"/>
  <c r="L15" i="1"/>
  <c r="M15" i="1"/>
  <c r="N15" i="1"/>
  <c r="O15" i="1"/>
  <c r="P15" i="1"/>
  <c r="D15" i="1" s="1"/>
  <c r="Q15" i="1"/>
  <c r="R15" i="1"/>
  <c r="S15" i="1"/>
  <c r="T15" i="1"/>
  <c r="J14" i="1"/>
  <c r="K14" i="1"/>
  <c r="L14" i="1"/>
  <c r="M14" i="1"/>
  <c r="N14" i="1"/>
  <c r="O14" i="1"/>
  <c r="P14" i="1"/>
  <c r="Q14" i="1"/>
  <c r="D14" i="1" s="1"/>
  <c r="R14" i="1"/>
  <c r="S14" i="1"/>
  <c r="J13" i="1"/>
  <c r="K13" i="1"/>
  <c r="L13" i="1"/>
  <c r="M13" i="1"/>
  <c r="N13" i="1"/>
  <c r="O13" i="1"/>
  <c r="P13" i="1"/>
  <c r="Q13" i="1"/>
  <c r="R13" i="1"/>
  <c r="D13" i="1" s="1"/>
  <c r="J12" i="1"/>
  <c r="K12" i="1"/>
  <c r="L12" i="1"/>
  <c r="M12" i="1"/>
  <c r="N12" i="1"/>
  <c r="O12" i="1"/>
  <c r="P12" i="1"/>
  <c r="Q12" i="1"/>
  <c r="J11" i="1"/>
  <c r="K11" i="1"/>
  <c r="L11" i="1"/>
  <c r="M11" i="1"/>
  <c r="N11" i="1"/>
  <c r="O11" i="1"/>
  <c r="P11" i="1"/>
  <c r="J10" i="1"/>
  <c r="K10" i="1"/>
  <c r="L10" i="1"/>
  <c r="M10" i="1"/>
  <c r="N10" i="1"/>
  <c r="O10" i="1"/>
  <c r="J9" i="1"/>
  <c r="K9" i="1"/>
  <c r="L9" i="1"/>
  <c r="M9" i="1"/>
  <c r="N9" i="1"/>
  <c r="J8" i="1"/>
  <c r="K8" i="1"/>
  <c r="L8" i="1"/>
  <c r="M8" i="1"/>
  <c r="J7" i="1"/>
  <c r="D7" i="1" s="1"/>
  <c r="K7" i="1"/>
  <c r="L7" i="1"/>
  <c r="J6" i="1"/>
  <c r="I14" i="1"/>
  <c r="I13" i="1"/>
  <c r="I12" i="1"/>
  <c r="I11" i="1"/>
  <c r="I10" i="1"/>
  <c r="I9" i="1"/>
  <c r="I7" i="1"/>
  <c r="I8" i="1"/>
  <c r="D8" i="1" s="1"/>
  <c r="E10" i="1" l="1"/>
  <c r="E14" i="1"/>
  <c r="E13" i="1"/>
  <c r="E9" i="1"/>
  <c r="E15" i="1"/>
  <c r="E11" i="1"/>
  <c r="E12" i="1"/>
  <c r="E6" i="1"/>
  <c r="E5" i="1"/>
  <c r="E7" i="1"/>
  <c r="E8" i="1"/>
  <c r="E2" i="1"/>
  <c r="E3" i="1"/>
  <c r="E4" i="1"/>
  <c r="F12" i="1" l="1"/>
  <c r="F11" i="1"/>
  <c r="F15" i="1"/>
  <c r="F9" i="1"/>
  <c r="F14" i="1"/>
  <c r="F13" i="1"/>
  <c r="F10" i="1"/>
  <c r="F5" i="1"/>
  <c r="F7" i="1"/>
  <c r="F6" i="1"/>
  <c r="F2" i="1"/>
  <c r="F3" i="1"/>
  <c r="F4" i="1"/>
  <c r="F8" i="1"/>
</calcChain>
</file>

<file path=xl/sharedStrings.xml><?xml version="1.0" encoding="utf-8"?>
<sst xmlns="http://purl.oclc.org/ooxml/spreadsheetml/main" count="49" uniqueCount="23">
  <si>
    <t>CONF</t>
  </si>
  <si>
    <t>DET</t>
  </si>
  <si>
    <t>SEED</t>
  </si>
  <si>
    <t>TEAM</t>
  </si>
  <si>
    <t>AFC</t>
  </si>
  <si>
    <t>NFC</t>
  </si>
  <si>
    <t>WC_WP</t>
  </si>
  <si>
    <t>PHI</t>
  </si>
  <si>
    <t>LAR</t>
  </si>
  <si>
    <t>TB</t>
  </si>
  <si>
    <t>MIN</t>
  </si>
  <si>
    <t>WAS</t>
  </si>
  <si>
    <t>GB</t>
  </si>
  <si>
    <t>KC</t>
  </si>
  <si>
    <t>BUF</t>
  </si>
  <si>
    <t>BAL</t>
  </si>
  <si>
    <t>HOU</t>
  </si>
  <si>
    <t>PIT</t>
  </si>
  <si>
    <t>LAC</t>
  </si>
  <si>
    <t>DEN</t>
  </si>
  <si>
    <t>REMAINING</t>
  </si>
  <si>
    <t>DIV_AP</t>
  </si>
  <si>
    <t>CONF_AP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</si>
</sst>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BC24-C241-44EA-82B2-A2F4C5E8194A}">
  <dimension ref="A1:U15"/>
  <sheetViews>
    <sheetView tabSelected="1" zoomScale="75" zoomScaleNormal="75" workbookViewId="0">
      <selection activeCell="R19" sqref="R19"/>
    </sheetView>
  </sheetViews>
  <sheetFormatPr defaultRowHeight="14.35" x14ac:dyDescent="0.5"/>
  <cols>
    <col min="7" max="7" width="10.3515625" customWidth="1"/>
  </cols>
  <sheetData>
    <row r="1" spans="1:21" x14ac:dyDescent="0.5">
      <c r="A1" t="s">
        <v>0</v>
      </c>
      <c r="B1" t="s">
        <v>2</v>
      </c>
      <c r="C1" t="s">
        <v>3</v>
      </c>
      <c r="D1" t="s">
        <v>6</v>
      </c>
      <c r="E1" t="s">
        <v>21</v>
      </c>
      <c r="F1" t="s">
        <v>22</v>
      </c>
      <c r="G1" t="s">
        <v>20</v>
      </c>
      <c r="H1" t="s">
        <v>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5">
      <c r="A2" t="s">
        <v>4</v>
      </c>
      <c r="B2">
        <v>1</v>
      </c>
      <c r="C2" t="s">
        <v>1</v>
      </c>
      <c r="D2">
        <v>1</v>
      </c>
      <c r="E2">
        <f>(D8*N2)+(D7*(1-D8)*M2)+(D6*(1-D7)*(1-D8)*L2)+(D5*(1-D7)*(1-D8)*K2)</f>
        <v>0.66879999999999995</v>
      </c>
      <c r="F2">
        <f>E2*($E$3*I2+$E$4*J2+$E$5*K2*((D7+D8) - D7*D8)+$E$6*L2*((D7+D8- D7*D8))+$E$7*M2*D8)</f>
        <v>0.36196291999999997</v>
      </c>
      <c r="G2">
        <f>1+SUM(D2:F2)-COUNTIF(D2:F2,"=1")</f>
        <v>2.0307629199999999</v>
      </c>
      <c r="I2">
        <v>0.5</v>
      </c>
      <c r="J2">
        <v>0.55000000000000004</v>
      </c>
      <c r="K2">
        <v>0.6</v>
      </c>
      <c r="L2">
        <v>0.65</v>
      </c>
      <c r="M2">
        <v>0.7</v>
      </c>
      <c r="N2">
        <v>0.7</v>
      </c>
      <c r="O2">
        <v>0.5</v>
      </c>
      <c r="P2">
        <v>0.5</v>
      </c>
      <c r="Q2">
        <v>0.55000000000000004</v>
      </c>
      <c r="R2">
        <v>0.6</v>
      </c>
      <c r="S2">
        <v>0.65</v>
      </c>
      <c r="T2">
        <v>0.7</v>
      </c>
      <c r="U2">
        <v>0.7</v>
      </c>
    </row>
    <row r="3" spans="1:21" x14ac:dyDescent="0.5">
      <c r="A3" t="s">
        <v>4</v>
      </c>
      <c r="B3">
        <v>2</v>
      </c>
      <c r="C3" t="s">
        <v>7</v>
      </c>
      <c r="D3">
        <f>N3</f>
        <v>0.65</v>
      </c>
      <c r="E3">
        <f>D3*((D4*J3)+(D5*D7*K3)+(D6*D7*L3))</f>
        <v>0.37569999999999998</v>
      </c>
      <c r="F3">
        <f>E3*($E$2*H3+$E$5*K3*D4+$E$6*L3*D4+$E$7*M3)</f>
        <v>0.22029169499999995</v>
      </c>
      <c r="G3">
        <f t="shared" ref="G3:G15" si="0">1+SUM(D3:F3)-COUNTIF(D3:F3,"=1")</f>
        <v>2.2459916949999998</v>
      </c>
      <c r="H3">
        <f>1-I2</f>
        <v>0.5</v>
      </c>
      <c r="J3">
        <v>0.55000000000000004</v>
      </c>
      <c r="K3">
        <v>0.6</v>
      </c>
      <c r="L3">
        <v>0.65</v>
      </c>
      <c r="M3">
        <v>0.7</v>
      </c>
      <c r="N3">
        <v>0.65</v>
      </c>
      <c r="O3">
        <v>0.5</v>
      </c>
      <c r="P3">
        <v>0.5</v>
      </c>
      <c r="Q3">
        <v>0.55000000000000004</v>
      </c>
      <c r="R3">
        <v>0.6</v>
      </c>
      <c r="S3">
        <v>0.65</v>
      </c>
      <c r="T3">
        <v>0.7</v>
      </c>
      <c r="U3">
        <v>0.7</v>
      </c>
    </row>
    <row r="4" spans="1:21" x14ac:dyDescent="0.5">
      <c r="A4" t="s">
        <v>4</v>
      </c>
      <c r="B4">
        <v>3</v>
      </c>
      <c r="C4" t="s">
        <v>8</v>
      </c>
      <c r="D4">
        <f>M4</f>
        <v>0.6</v>
      </c>
      <c r="E4">
        <f>D4*((D3*I4)+(D8*D6*L4)+(D8*D5*K4))</f>
        <v>0.29519999999999996</v>
      </c>
      <c r="F4">
        <f>E4*($E$2*H4+$E$5*K4*D3+$E$6*L4*D3+$E$8*N4)</f>
        <v>0.15587512019999997</v>
      </c>
      <c r="G4">
        <f t="shared" si="0"/>
        <v>2.0510751202000002</v>
      </c>
      <c r="H4">
        <f>1-J2</f>
        <v>0.44999999999999996</v>
      </c>
      <c r="I4">
        <f>1-J3</f>
        <v>0.44999999999999996</v>
      </c>
      <c r="K4">
        <v>0.55000000000000004</v>
      </c>
      <c r="L4">
        <v>0.6</v>
      </c>
      <c r="M4">
        <v>0.6</v>
      </c>
      <c r="N4">
        <v>0.7</v>
      </c>
      <c r="O4">
        <v>0.4</v>
      </c>
      <c r="P4">
        <v>0.45</v>
      </c>
      <c r="Q4">
        <v>0.5</v>
      </c>
      <c r="R4">
        <v>0.55000000000000004</v>
      </c>
      <c r="S4">
        <v>0.6</v>
      </c>
      <c r="T4">
        <v>0.7</v>
      </c>
      <c r="U4">
        <v>0.7</v>
      </c>
    </row>
    <row r="5" spans="1:21" x14ac:dyDescent="0.5">
      <c r="A5" t="s">
        <v>4</v>
      </c>
      <c r="B5">
        <v>4</v>
      </c>
      <c r="C5" t="s">
        <v>9</v>
      </c>
      <c r="D5">
        <f>L5</f>
        <v>0.6</v>
      </c>
      <c r="E5">
        <f>D5*((D3*D4*H5)+(D3*D7*I5)+(D4*D8*J5)+(D7*D8*M5))</f>
        <v>0.2631</v>
      </c>
      <c r="F5">
        <f>E5*($E$3*I5*D4+$E$4*J5*D3+$E$2*H5*((D8+D7)-D8*D7)+$E$7*M5*D3+$E$8*N5)</f>
        <v>0.12027490211999999</v>
      </c>
      <c r="G5">
        <f t="shared" si="0"/>
        <v>1.98337490212</v>
      </c>
      <c r="H5">
        <f>1-K2</f>
        <v>0.4</v>
      </c>
      <c r="I5">
        <f>1-K3</f>
        <v>0.4</v>
      </c>
      <c r="J5">
        <f>1-K4</f>
        <v>0.44999999999999996</v>
      </c>
      <c r="L5">
        <v>0.6</v>
      </c>
      <c r="M5">
        <v>0.6</v>
      </c>
      <c r="N5">
        <v>0.6</v>
      </c>
      <c r="O5">
        <v>0.4</v>
      </c>
      <c r="P5">
        <v>0.4</v>
      </c>
      <c r="Q5">
        <v>0.45</v>
      </c>
      <c r="R5">
        <v>0.5</v>
      </c>
      <c r="S5">
        <v>0.5</v>
      </c>
      <c r="T5">
        <v>0.55000000000000004</v>
      </c>
      <c r="U5">
        <v>0.55000000000000004</v>
      </c>
    </row>
    <row r="6" spans="1:21" x14ac:dyDescent="0.5">
      <c r="A6" t="s">
        <v>4</v>
      </c>
      <c r="B6">
        <v>5</v>
      </c>
      <c r="C6" t="s">
        <v>10</v>
      </c>
      <c r="D6">
        <f>K6</f>
        <v>0.4</v>
      </c>
      <c r="E6">
        <f>D6*((D3*D4*H6)+(D3*D7*I6)+(D4*D8*J6)+(D7*D8*M6))</f>
        <v>0.15260000000000001</v>
      </c>
      <c r="F6">
        <f>E6*($E$3*I6*D4+$E$4*J6*D3+$E$2*H6*((D8+D7)-D8*D7)+$E$7*M6*D3+$E$8*N6)</f>
        <v>6.0476570280000003E-2</v>
      </c>
      <c r="G6">
        <f t="shared" si="0"/>
        <v>1.6130765702800001</v>
      </c>
      <c r="H6">
        <f>1-L2</f>
        <v>0.35</v>
      </c>
      <c r="I6">
        <f>1-L3</f>
        <v>0.35</v>
      </c>
      <c r="J6">
        <f>1-L4</f>
        <v>0.4</v>
      </c>
      <c r="K6">
        <f>1-L5</f>
        <v>0.4</v>
      </c>
      <c r="M6">
        <v>0.5</v>
      </c>
      <c r="N6">
        <v>0.5</v>
      </c>
      <c r="O6">
        <v>0.35</v>
      </c>
      <c r="P6">
        <v>0.4</v>
      </c>
      <c r="Q6">
        <v>0.45</v>
      </c>
      <c r="R6">
        <v>0.5</v>
      </c>
      <c r="S6">
        <v>0.5</v>
      </c>
      <c r="T6">
        <v>0.5</v>
      </c>
      <c r="U6">
        <v>0.5</v>
      </c>
    </row>
    <row r="7" spans="1:21" x14ac:dyDescent="0.5">
      <c r="A7" t="s">
        <v>4</v>
      </c>
      <c r="B7">
        <v>6</v>
      </c>
      <c r="C7" t="s">
        <v>11</v>
      </c>
      <c r="D7">
        <f>J7</f>
        <v>0.4</v>
      </c>
      <c r="E7">
        <f>D7*((D3*H7)+(D8*D6*L7)+(D8*D5*K7))</f>
        <v>0.13960000000000003</v>
      </c>
      <c r="F7">
        <f>E7*($E$3*I7+$E$5*K7*D3+$E$6*L7*D3+$E$2*H7*D8+$E$8*N7)</f>
        <v>4.9339526000000009E-2</v>
      </c>
      <c r="G7">
        <f t="shared" si="0"/>
        <v>1.5889395260000001</v>
      </c>
      <c r="H7">
        <f>1-M2</f>
        <v>0.30000000000000004</v>
      </c>
      <c r="I7">
        <f>1-M3</f>
        <v>0.30000000000000004</v>
      </c>
      <c r="J7">
        <f>1-M4</f>
        <v>0.4</v>
      </c>
      <c r="K7">
        <f>1-M5</f>
        <v>0.4</v>
      </c>
      <c r="L7">
        <f>1-M6</f>
        <v>0.5</v>
      </c>
      <c r="N7">
        <v>0.5</v>
      </c>
      <c r="O7">
        <v>0.35</v>
      </c>
      <c r="P7">
        <v>0.4</v>
      </c>
      <c r="Q7">
        <v>0.45</v>
      </c>
      <c r="R7">
        <v>0.5</v>
      </c>
      <c r="S7">
        <v>0.5</v>
      </c>
      <c r="T7">
        <v>0.5</v>
      </c>
      <c r="U7">
        <v>0.5</v>
      </c>
    </row>
    <row r="8" spans="1:21" x14ac:dyDescent="0.5">
      <c r="A8" t="s">
        <v>4</v>
      </c>
      <c r="B8">
        <v>7</v>
      </c>
      <c r="C8" t="s">
        <v>12</v>
      </c>
      <c r="D8">
        <f>I8</f>
        <v>0.35</v>
      </c>
      <c r="E8">
        <f>D8*H8</f>
        <v>0.10500000000000001</v>
      </c>
      <c r="F8">
        <f>E8*($E$4*J8+$E$5*K8+$E$6*L8+$E$7*M8)</f>
        <v>3.5689500000000006E-2</v>
      </c>
      <c r="G8">
        <f t="shared" si="0"/>
        <v>1.4906895</v>
      </c>
      <c r="H8">
        <f>1-N2</f>
        <v>0.30000000000000004</v>
      </c>
      <c r="I8">
        <f>1-N3</f>
        <v>0.35</v>
      </c>
      <c r="J8">
        <f>1-N4</f>
        <v>0.30000000000000004</v>
      </c>
      <c r="K8">
        <f>1-N5</f>
        <v>0.4</v>
      </c>
      <c r="L8">
        <f>1-N6</f>
        <v>0.5</v>
      </c>
      <c r="M8">
        <f>1-N7</f>
        <v>0.5</v>
      </c>
      <c r="O8">
        <v>0.35</v>
      </c>
      <c r="P8">
        <v>0.4</v>
      </c>
      <c r="Q8">
        <v>0.4</v>
      </c>
      <c r="R8">
        <v>0.45</v>
      </c>
      <c r="S8">
        <v>0.45</v>
      </c>
      <c r="T8">
        <v>0.45</v>
      </c>
      <c r="U8">
        <v>0.5</v>
      </c>
    </row>
    <row r="9" spans="1:21" x14ac:dyDescent="0.5">
      <c r="A9" t="s">
        <v>5</v>
      </c>
      <c r="B9">
        <v>1</v>
      </c>
      <c r="C9" t="s">
        <v>13</v>
      </c>
      <c r="D9">
        <v>1</v>
      </c>
      <c r="E9">
        <f>(D15*U9)+(D14*(1-D15)*T9)+(D13*(1-D14)*(1-D15)*S9)+(D12*(1-D14)*(1-D15)*R9)</f>
        <v>0.67900000000000005</v>
      </c>
      <c r="F9">
        <f>E9*($E$10*P9+$E$11*Q9+$E$12*R9*((D14+D15) - D14*D15)+$E$13*S9*((D14+D15- D14*D15))+$E$14*T9*D15)</f>
        <v>0.3896381069</v>
      </c>
      <c r="G9">
        <f t="shared" si="0"/>
        <v>2.0686381068999999</v>
      </c>
      <c r="H9">
        <f>1-O2</f>
        <v>0.5</v>
      </c>
      <c r="I9">
        <f>1-O3</f>
        <v>0.5</v>
      </c>
      <c r="J9">
        <f>1-O4</f>
        <v>0.6</v>
      </c>
      <c r="K9">
        <f>1-O5</f>
        <v>0.6</v>
      </c>
      <c r="L9">
        <f>1-O6</f>
        <v>0.65</v>
      </c>
      <c r="M9">
        <f>1-O7</f>
        <v>0.65</v>
      </c>
      <c r="N9">
        <f>1-O8</f>
        <v>0.65</v>
      </c>
      <c r="P9">
        <v>0.55000000000000004</v>
      </c>
      <c r="Q9">
        <v>0.6</v>
      </c>
      <c r="R9">
        <v>0.65</v>
      </c>
      <c r="S9">
        <v>0.65</v>
      </c>
      <c r="T9">
        <v>0.7</v>
      </c>
      <c r="U9">
        <v>0.7</v>
      </c>
    </row>
    <row r="10" spans="1:21" x14ac:dyDescent="0.5">
      <c r="A10" t="s">
        <v>5</v>
      </c>
      <c r="B10">
        <v>2</v>
      </c>
      <c r="C10" t="s">
        <v>14</v>
      </c>
      <c r="D10">
        <f>U10</f>
        <v>0.7</v>
      </c>
      <c r="E10">
        <f>D10*((D11*Q10)+(D12*D14*R10)+(D13*D14*S10))</f>
        <v>0.39900000000000002</v>
      </c>
      <c r="F10">
        <f>E10*($E$9*O10+$E$12*R10*D11+$E$13*S10*D11+$E$14*T10)</f>
        <v>0.21633500700000002</v>
      </c>
      <c r="G10">
        <f t="shared" si="0"/>
        <v>2.3153350069999998</v>
      </c>
      <c r="H10">
        <f>1-P2</f>
        <v>0.5</v>
      </c>
      <c r="I10">
        <f>1-P3</f>
        <v>0.5</v>
      </c>
      <c r="J10">
        <f>1-P4</f>
        <v>0.55000000000000004</v>
      </c>
      <c r="K10">
        <f>1-P5</f>
        <v>0.6</v>
      </c>
      <c r="L10">
        <f>1-P6</f>
        <v>0.6</v>
      </c>
      <c r="M10">
        <f>1-P7</f>
        <v>0.6</v>
      </c>
      <c r="N10">
        <f>1-P8</f>
        <v>0.6</v>
      </c>
      <c r="O10">
        <f>1-P9</f>
        <v>0.44999999999999996</v>
      </c>
      <c r="Q10">
        <v>0.55000000000000004</v>
      </c>
      <c r="R10">
        <v>0.6</v>
      </c>
      <c r="S10">
        <v>0.6</v>
      </c>
      <c r="T10">
        <v>0.65</v>
      </c>
      <c r="U10">
        <v>0.7</v>
      </c>
    </row>
    <row r="11" spans="1:21" x14ac:dyDescent="0.5">
      <c r="A11" t="s">
        <v>5</v>
      </c>
      <c r="B11">
        <v>3</v>
      </c>
      <c r="C11" t="s">
        <v>15</v>
      </c>
      <c r="D11">
        <f>T11</f>
        <v>0.6</v>
      </c>
      <c r="E11">
        <f>D11*((D10*P11)+(D15*D13*S11)+(D15*D12*R11))</f>
        <v>0.28799999999999998</v>
      </c>
      <c r="F11">
        <f>E11*($E$9*O11+$E$12*R11*D10+$E$13*S11*D10+$E$15*U11)</f>
        <v>0.13849070399999999</v>
      </c>
      <c r="G11">
        <f t="shared" si="0"/>
        <v>2.026490704</v>
      </c>
      <c r="H11">
        <f>1-Q2</f>
        <v>0.44999999999999996</v>
      </c>
      <c r="I11">
        <f>1-Q3</f>
        <v>0.44999999999999996</v>
      </c>
      <c r="J11">
        <f>1-Q4</f>
        <v>0.5</v>
      </c>
      <c r="K11">
        <f>1-Q5</f>
        <v>0.55000000000000004</v>
      </c>
      <c r="L11">
        <f>1-Q6</f>
        <v>0.55000000000000004</v>
      </c>
      <c r="M11">
        <f>1-Q7</f>
        <v>0.55000000000000004</v>
      </c>
      <c r="N11">
        <f>1-Q8</f>
        <v>0.6</v>
      </c>
      <c r="O11">
        <f>1-Q9</f>
        <v>0.4</v>
      </c>
      <c r="P11">
        <f>1-Q10</f>
        <v>0.44999999999999996</v>
      </c>
      <c r="R11">
        <v>0.55000000000000004</v>
      </c>
      <c r="S11">
        <v>0.55000000000000004</v>
      </c>
      <c r="T11">
        <v>0.6</v>
      </c>
      <c r="U11">
        <v>0.6</v>
      </c>
    </row>
    <row r="12" spans="1:21" x14ac:dyDescent="0.5">
      <c r="A12" t="s">
        <v>5</v>
      </c>
      <c r="B12">
        <v>4</v>
      </c>
      <c r="C12" t="s">
        <v>16</v>
      </c>
      <c r="D12">
        <f>S12</f>
        <v>0.55000000000000004</v>
      </c>
      <c r="E12">
        <f>D12*((D10*D11*O12)+(D10*D14*P12)+(D11*D15*Q12)+(D14*D15*T12))</f>
        <v>0.22330000000000003</v>
      </c>
      <c r="F12">
        <f>E12*($E$10*P12*D11+$E$11*Q12*D10+$E$9*O12*((D15+D14)-D15*D14)+$E$14*T12*D10+$E$15*U12)</f>
        <v>9.4564535450000015E-2</v>
      </c>
      <c r="G12">
        <f t="shared" si="0"/>
        <v>1.8678645354500001</v>
      </c>
      <c r="H12">
        <f>1-R2</f>
        <v>0.4</v>
      </c>
      <c r="I12">
        <f>1-R3</f>
        <v>0.4</v>
      </c>
      <c r="J12">
        <f>1-R4</f>
        <v>0.44999999999999996</v>
      </c>
      <c r="K12">
        <f>1-R5</f>
        <v>0.5</v>
      </c>
      <c r="L12">
        <f>1-R6</f>
        <v>0.5</v>
      </c>
      <c r="M12">
        <f>1-R7</f>
        <v>0.5</v>
      </c>
      <c r="N12">
        <f>1-R8</f>
        <v>0.55000000000000004</v>
      </c>
      <c r="O12">
        <f>1-R9</f>
        <v>0.35</v>
      </c>
      <c r="P12">
        <f>1-R10</f>
        <v>0.4</v>
      </c>
      <c r="Q12">
        <f>1-R11</f>
        <v>0.44999999999999996</v>
      </c>
      <c r="S12">
        <v>0.55000000000000004</v>
      </c>
      <c r="T12">
        <v>0.55000000000000004</v>
      </c>
      <c r="U12">
        <v>0.5</v>
      </c>
    </row>
    <row r="13" spans="1:21" x14ac:dyDescent="0.5">
      <c r="A13" t="s">
        <v>5</v>
      </c>
      <c r="B13">
        <v>5</v>
      </c>
      <c r="C13" t="s">
        <v>17</v>
      </c>
      <c r="D13">
        <f>R13</f>
        <v>0.44999999999999996</v>
      </c>
      <c r="E13">
        <f>D13*((D10*D11*O13)+(D10*D14*P13)+(D11*D15*Q13)+(D14*D15*T13))</f>
        <v>0.18</v>
      </c>
      <c r="F13">
        <f>E13*($E$10*P13*D11+$E$11*Q13*D10+$E$9*O13*((D15+D14)-D15*D14)+$E$14*T13*D10+$E$15*U13)</f>
        <v>7.534115999999999E-2</v>
      </c>
      <c r="G13">
        <f t="shared" si="0"/>
        <v>1.7053411599999999</v>
      </c>
      <c r="H13">
        <f>1-S2</f>
        <v>0.35</v>
      </c>
      <c r="I13">
        <f>1-S3</f>
        <v>0.35</v>
      </c>
      <c r="J13">
        <f>1-S4</f>
        <v>0.4</v>
      </c>
      <c r="K13">
        <f>1-S5</f>
        <v>0.5</v>
      </c>
      <c r="L13">
        <f>1-S6</f>
        <v>0.5</v>
      </c>
      <c r="M13">
        <f>1-S7</f>
        <v>0.5</v>
      </c>
      <c r="N13">
        <f>1-S8</f>
        <v>0.55000000000000004</v>
      </c>
      <c r="O13">
        <f>1-S9</f>
        <v>0.35</v>
      </c>
      <c r="P13">
        <f>1-S10</f>
        <v>0.4</v>
      </c>
      <c r="Q13">
        <f>1-S11</f>
        <v>0.44999999999999996</v>
      </c>
      <c r="R13">
        <f>1-S12</f>
        <v>0.44999999999999996</v>
      </c>
      <c r="T13">
        <v>0.5</v>
      </c>
      <c r="U13">
        <v>0.5</v>
      </c>
    </row>
    <row r="14" spans="1:21" x14ac:dyDescent="0.5">
      <c r="A14" t="s">
        <v>5</v>
      </c>
      <c r="B14">
        <v>6</v>
      </c>
      <c r="C14" t="s">
        <v>18</v>
      </c>
      <c r="D14">
        <f>Q14</f>
        <v>0.4</v>
      </c>
      <c r="E14">
        <f>D14*((D10*O14)+(D15*D13*S14)+(D15*D12*R14))</f>
        <v>0.14070000000000002</v>
      </c>
      <c r="F14">
        <f>E14*($E$10*P14+$E$12*R14*D10+$E$13*S14*D10+$E$9*O14*D15+$E$15*U14)</f>
        <v>5.3339299650000012E-2</v>
      </c>
      <c r="G14">
        <f t="shared" si="0"/>
        <v>1.5940392996500001</v>
      </c>
      <c r="H14">
        <f>1-T2</f>
        <v>0.30000000000000004</v>
      </c>
      <c r="I14">
        <f>1-T3</f>
        <v>0.30000000000000004</v>
      </c>
      <c r="J14">
        <f>1-T4</f>
        <v>0.30000000000000004</v>
      </c>
      <c r="K14">
        <f>1-T5</f>
        <v>0.44999999999999996</v>
      </c>
      <c r="L14">
        <f>1-T6</f>
        <v>0.5</v>
      </c>
      <c r="M14">
        <f>1-T7</f>
        <v>0.5</v>
      </c>
      <c r="N14">
        <f>1-T8</f>
        <v>0.55000000000000004</v>
      </c>
      <c r="O14">
        <f>1-T9</f>
        <v>0.30000000000000004</v>
      </c>
      <c r="P14">
        <f>1-T10</f>
        <v>0.35</v>
      </c>
      <c r="Q14">
        <f>1-T11</f>
        <v>0.4</v>
      </c>
      <c r="R14">
        <f>1-T12</f>
        <v>0.44999999999999996</v>
      </c>
      <c r="S14">
        <f>1-T13</f>
        <v>0.5</v>
      </c>
      <c r="U14">
        <v>0.5</v>
      </c>
    </row>
    <row r="15" spans="1:21" x14ac:dyDescent="0.5">
      <c r="A15" t="s">
        <v>5</v>
      </c>
      <c r="B15">
        <v>7</v>
      </c>
      <c r="C15" t="s">
        <v>19</v>
      </c>
      <c r="D15">
        <f>P15</f>
        <v>0.30000000000000004</v>
      </c>
      <c r="E15">
        <f>D15*O15</f>
        <v>9.0000000000000024E-2</v>
      </c>
      <c r="F15">
        <f>E15*($E$11*Q15+$E$12*R15+$E$13*S15+$E$14*T15)</f>
        <v>3.4848000000000011E-2</v>
      </c>
      <c r="G15">
        <f t="shared" si="0"/>
        <v>1.4248480000000001</v>
      </c>
      <c r="H15">
        <f>1-U2</f>
        <v>0.30000000000000004</v>
      </c>
      <c r="I15">
        <f>1-U3</f>
        <v>0.30000000000000004</v>
      </c>
      <c r="J15">
        <f>1-U4</f>
        <v>0.30000000000000004</v>
      </c>
      <c r="K15">
        <f>1-U5</f>
        <v>0.44999999999999996</v>
      </c>
      <c r="L15">
        <f>1-U6</f>
        <v>0.5</v>
      </c>
      <c r="M15">
        <f>1-U7</f>
        <v>0.5</v>
      </c>
      <c r="N15">
        <f>1-U8</f>
        <v>0.5</v>
      </c>
      <c r="O15">
        <f>1-U9</f>
        <v>0.30000000000000004</v>
      </c>
      <c r="P15">
        <f>1-U10</f>
        <v>0.30000000000000004</v>
      </c>
      <c r="Q15">
        <f>1-U11</f>
        <v>0.4</v>
      </c>
      <c r="R15">
        <f>1-U12</f>
        <v>0.5</v>
      </c>
      <c r="S15">
        <f>1-U13</f>
        <v>0.5</v>
      </c>
      <c r="T15">
        <f>1-U14</f>
        <v>0.5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Czarnecki</dc:creator>
  <cp:lastModifiedBy>Steve Czarnecki</cp:lastModifiedBy>
  <dcterms:created xsi:type="dcterms:W3CDTF">2025-12-31T20:20:14Z</dcterms:created>
  <dcterms:modified xsi:type="dcterms:W3CDTF">2026-01-01T20:39:53Z</dcterms:modified>
</cp:coreProperties>
</file>